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1" l="1"/>
  <c r="H36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1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<sst xmlns="http://schemas.openxmlformats.org/spreadsheetml/2006/main" count="34" uniqueCount="5">
  <si>
    <t>keV</t>
  </si>
  <si>
    <t>MeV</t>
  </si>
  <si>
    <t>eV/(1e15 atoms/cm2)</t>
  </si>
  <si>
    <t>Lab E (MeV)</t>
  </si>
  <si>
    <t>MeV/(atoms/cm2)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</si>
</sst>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9.4380209908705645E-2"/>
                  <c:y val="-0.69043700787401574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Sheet1!$H$2:$H$32</c:f>
              <c:numCache>
                <c:formatCode>General</c:formatCode>
                <c:ptCount val="31"/>
                <c:pt idx="0">
                  <c:v>0.2</c:v>
                </c:pt>
                <c:pt idx="1">
                  <c:v>0.22500000000000001</c:v>
                </c:pt>
                <c:pt idx="2">
                  <c:v>0.25</c:v>
                </c:pt>
                <c:pt idx="3">
                  <c:v>0.27500000000000002</c:v>
                </c:pt>
                <c:pt idx="4">
                  <c:v>0.3</c:v>
                </c:pt>
                <c:pt idx="5">
                  <c:v>0.32500000000000001</c:v>
                </c:pt>
                <c:pt idx="6">
                  <c:v>0.35</c:v>
                </c:pt>
                <c:pt idx="7">
                  <c:v>0.375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0.8</c:v>
                </c:pt>
                <c:pt idx="16">
                  <c:v>0.9</c:v>
                </c:pt>
                <c:pt idx="17">
                  <c:v>1</c:v>
                </c:pt>
                <c:pt idx="18">
                  <c:v>1.1000000000000001</c:v>
                </c:pt>
                <c:pt idx="19">
                  <c:v>1.2</c:v>
                </c:pt>
                <c:pt idx="20">
                  <c:v>1.3</c:v>
                </c:pt>
                <c:pt idx="21">
                  <c:v>1.4</c:v>
                </c:pt>
                <c:pt idx="22">
                  <c:v>1.5</c:v>
                </c:pt>
                <c:pt idx="23">
                  <c:v>1.6</c:v>
                </c:pt>
                <c:pt idx="24">
                  <c:v>1.7</c:v>
                </c:pt>
                <c:pt idx="25">
                  <c:v>1.8</c:v>
                </c:pt>
                <c:pt idx="26">
                  <c:v>2</c:v>
                </c:pt>
                <c:pt idx="27">
                  <c:v>2.25</c:v>
                </c:pt>
                <c:pt idx="28">
                  <c:v>2.5</c:v>
                </c:pt>
                <c:pt idx="29">
                  <c:v>2.75</c:v>
                </c:pt>
                <c:pt idx="30">
                  <c:v>3</c:v>
                </c:pt>
              </c:numCache>
            </c:numRef>
          </c:xVal>
          <c:yVal>
            <c:numRef>
              <c:f>Sheet1!$J$2:$J$32</c:f>
              <c:numCache>
                <c:formatCode>0.00E+00</c:formatCode>
                <c:ptCount val="31"/>
                <c:pt idx="0">
                  <c:v>1.1771929999999999E-20</c:v>
                </c:pt>
                <c:pt idx="1">
                  <c:v>1.1120809999999998E-20</c:v>
                </c:pt>
                <c:pt idx="2">
                  <c:v>1.0539899999999999E-20</c:v>
                </c:pt>
                <c:pt idx="3">
                  <c:v>1.0019138E-20</c:v>
                </c:pt>
                <c:pt idx="4">
                  <c:v>9.5504929999999996E-21</c:v>
                </c:pt>
                <c:pt idx="5">
                  <c:v>9.1319379999999992E-21</c:v>
                </c:pt>
                <c:pt idx="6">
                  <c:v>8.7534559999999996E-21</c:v>
                </c:pt>
                <c:pt idx="7">
                  <c:v>8.4110320000000011E-21</c:v>
                </c:pt>
                <c:pt idx="8">
                  <c:v>8.0986570000000019E-21</c:v>
                </c:pt>
                <c:pt idx="9">
                  <c:v>7.552022E-21</c:v>
                </c:pt>
                <c:pt idx="10">
                  <c:v>7.0875039999999997E-21</c:v>
                </c:pt>
                <c:pt idx="11">
                  <c:v>6.6870730000000009E-21</c:v>
                </c:pt>
                <c:pt idx="12">
                  <c:v>6.3387079999999996E-21</c:v>
                </c:pt>
                <c:pt idx="13">
                  <c:v>6.0323949999999996E-21</c:v>
                </c:pt>
                <c:pt idx="14">
                  <c:v>5.7601240000000002E-21</c:v>
                </c:pt>
                <c:pt idx="15">
                  <c:v>5.2966750000000005E-21</c:v>
                </c:pt>
                <c:pt idx="16">
                  <c:v>4.9153190000000008E-21</c:v>
                </c:pt>
                <c:pt idx="17">
                  <c:v>4.5960289999999999E-21</c:v>
                </c:pt>
                <c:pt idx="18">
                  <c:v>4.3387880000000003E-21</c:v>
                </c:pt>
                <c:pt idx="19">
                  <c:v>4.0855839999999994E-21</c:v>
                </c:pt>
                <c:pt idx="20">
                  <c:v>3.8604099999999999E-21</c:v>
                </c:pt>
                <c:pt idx="21">
                  <c:v>3.6622589999999998E-21</c:v>
                </c:pt>
                <c:pt idx="22">
                  <c:v>3.4871269999999997E-21</c:v>
                </c:pt>
                <c:pt idx="23">
                  <c:v>3.3300099999999998E-21</c:v>
                </c:pt>
                <c:pt idx="24">
                  <c:v>3.187906E-21</c:v>
                </c:pt>
                <c:pt idx="25">
                  <c:v>3.0588130000000001E-21</c:v>
                </c:pt>
                <c:pt idx="26">
                  <c:v>2.8336519999999997E-21</c:v>
                </c:pt>
                <c:pt idx="27">
                  <c:v>2.59949E-21</c:v>
                </c:pt>
                <c:pt idx="28">
                  <c:v>2.404357E-21</c:v>
                </c:pt>
                <c:pt idx="29">
                  <c:v>2.2402479999999995E-21</c:v>
                </c:pt>
                <c:pt idx="30">
                  <c:v>2.0981549999999999E-21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5-4ED1-9A47-37FB0B3C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904336"/>
        <c:axId val="394903680"/>
      </c:scatterChart>
      <c:valAx>
        <c:axId val="39490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03680"/>
        <c:crosses val="autoZero"/>
        <c:crossBetween val="midCat"/>
      </c:valAx>
      <c:valAx>
        <c:axId val="3949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0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561974</xdr:colOff>
      <xdr:row>1</xdr:row>
      <xdr:rowOff>161925</xdr:rowOff>
    </xdr:from>
    <xdr:to>
      <xdr:col>24</xdr:col>
      <xdr:colOff>323849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40"/>
  <sheetViews>
    <sheetView tabSelected="1" topLeftCell="H1" workbookViewId="0">
      <selection activeCell="H41" sqref="H41"/>
    </sheetView>
  </sheetViews>
  <sheetFormatPr defaultRowHeight="14.4" x14ac:dyDescent="0.3"/>
  <cols>
    <col min="8" max="8" width="12" bestFit="1" customWidth="1"/>
    <col min="9" max="9" width="20.44140625" bestFit="1" customWidth="1"/>
    <col min="10" max="10" width="17.5546875" bestFit="1" customWidth="1"/>
  </cols>
  <sheetData>
    <row r="1" spans="3:10" x14ac:dyDescent="0.3">
      <c r="H1" t="s">
        <v>3</v>
      </c>
      <c r="I1" t="s">
        <v>2</v>
      </c>
      <c r="J1" t="s">
        <v>4</v>
      </c>
    </row>
    <row r="2" spans="3:10" x14ac:dyDescent="0.3">
      <c r="C2">
        <v>200</v>
      </c>
      <c r="D2" t="s">
        <v>0</v>
      </c>
      <c r="E2" s="1">
        <v>11.76</v>
      </c>
      <c r="F2" s="1">
        <v>1.193E-2</v>
      </c>
      <c r="H2">
        <f>C2/1000</f>
        <v>0.2</v>
      </c>
      <c r="I2" s="1">
        <f>SUM(E2:F2)</f>
        <v>11.771929999999999</v>
      </c>
      <c r="J2" s="1">
        <f>I2/1000000000000000/1000000</f>
        <v>1.1771929999999999E-20</v>
      </c>
    </row>
    <row r="3" spans="3:10" x14ac:dyDescent="0.3">
      <c r="C3">
        <v>225</v>
      </c>
      <c r="D3" t="s">
        <v>0</v>
      </c>
      <c r="E3" s="1">
        <v>11.11</v>
      </c>
      <c r="F3" s="1">
        <v>1.081E-2</v>
      </c>
      <c r="H3">
        <f t="shared" ref="H3:H18" si="0">C3/1000</f>
        <v>0.22500000000000001</v>
      </c>
      <c r="I3" s="1">
        <f t="shared" ref="I3:I32" si="1">SUM(E3:F3)</f>
        <v>11.120809999999999</v>
      </c>
      <c r="J3" s="1">
        <f t="shared" ref="J3:J32" si="2">I3/1000000000000000/1000000</f>
        <v>1.1120809999999998E-20</v>
      </c>
    </row>
    <row r="4" spans="3:10" x14ac:dyDescent="0.3">
      <c r="C4">
        <v>250</v>
      </c>
      <c r="D4" t="s">
        <v>0</v>
      </c>
      <c r="E4" s="1">
        <v>10.53</v>
      </c>
      <c r="F4" s="1">
        <v>9.9000000000000008E-3</v>
      </c>
      <c r="H4">
        <f t="shared" si="0"/>
        <v>0.25</v>
      </c>
      <c r="I4" s="1">
        <f t="shared" si="1"/>
        <v>10.539899999999999</v>
      </c>
      <c r="J4" s="1">
        <f t="shared" si="2"/>
        <v>1.0539899999999999E-20</v>
      </c>
    </row>
    <row r="5" spans="3:10" x14ac:dyDescent="0.3">
      <c r="C5">
        <v>275</v>
      </c>
      <c r="D5" t="s">
        <v>0</v>
      </c>
      <c r="E5" s="1">
        <v>10.01</v>
      </c>
      <c r="F5" s="1">
        <v>9.1380000000000003E-3</v>
      </c>
      <c r="H5">
        <f t="shared" si="0"/>
        <v>0.27500000000000002</v>
      </c>
      <c r="I5" s="1">
        <f t="shared" si="1"/>
        <v>10.019138</v>
      </c>
      <c r="J5" s="1">
        <f t="shared" si="2"/>
        <v>1.0019138E-20</v>
      </c>
    </row>
    <row r="6" spans="3:10" x14ac:dyDescent="0.3">
      <c r="C6">
        <v>300</v>
      </c>
      <c r="D6" t="s">
        <v>0</v>
      </c>
      <c r="E6" s="1">
        <v>9.5419999999999998</v>
      </c>
      <c r="F6" s="1">
        <v>8.4930000000000005E-3</v>
      </c>
      <c r="H6">
        <f t="shared" si="0"/>
        <v>0.3</v>
      </c>
      <c r="I6" s="1">
        <f t="shared" si="1"/>
        <v>9.5504929999999995</v>
      </c>
      <c r="J6" s="1">
        <f t="shared" si="2"/>
        <v>9.5504929999999996E-21</v>
      </c>
    </row>
    <row r="7" spans="3:10" x14ac:dyDescent="0.3">
      <c r="C7">
        <v>325</v>
      </c>
      <c r="D7" t="s">
        <v>0</v>
      </c>
      <c r="E7" s="1">
        <v>9.1240000000000006</v>
      </c>
      <c r="F7" s="1">
        <v>7.9380000000000006E-3</v>
      </c>
      <c r="H7">
        <f t="shared" si="0"/>
        <v>0.32500000000000001</v>
      </c>
      <c r="I7" s="1">
        <f t="shared" si="1"/>
        <v>9.1319379999999999</v>
      </c>
      <c r="J7" s="1">
        <f t="shared" si="2"/>
        <v>9.1319379999999992E-21</v>
      </c>
    </row>
    <row r="8" spans="3:10" x14ac:dyDescent="0.3">
      <c r="C8">
        <v>350</v>
      </c>
      <c r="D8" t="s">
        <v>0</v>
      </c>
      <c r="E8" s="1">
        <v>8.7460000000000004</v>
      </c>
      <c r="F8" s="1">
        <v>7.456E-3</v>
      </c>
      <c r="H8">
        <f t="shared" si="0"/>
        <v>0.35</v>
      </c>
      <c r="I8" s="1">
        <f t="shared" si="1"/>
        <v>8.7534559999999999</v>
      </c>
      <c r="J8" s="1">
        <f t="shared" si="2"/>
        <v>8.7534559999999996E-21</v>
      </c>
    </row>
    <row r="9" spans="3:10" x14ac:dyDescent="0.3">
      <c r="C9">
        <v>375</v>
      </c>
      <c r="D9" t="s">
        <v>0</v>
      </c>
      <c r="E9" s="1">
        <v>8.4039999999999999</v>
      </c>
      <c r="F9" s="1">
        <v>7.0320000000000001E-3</v>
      </c>
      <c r="H9">
        <f t="shared" si="0"/>
        <v>0.375</v>
      </c>
      <c r="I9" s="1">
        <f t="shared" si="1"/>
        <v>8.4110320000000005</v>
      </c>
      <c r="J9" s="1">
        <f t="shared" si="2"/>
        <v>8.4110320000000011E-21</v>
      </c>
    </row>
    <row r="10" spans="3:10" x14ac:dyDescent="0.3">
      <c r="C10">
        <v>400</v>
      </c>
      <c r="D10" t="s">
        <v>0</v>
      </c>
      <c r="E10" s="1">
        <v>8.0920000000000005</v>
      </c>
      <c r="F10" s="1">
        <v>6.6569999999999997E-3</v>
      </c>
      <c r="H10">
        <f t="shared" si="0"/>
        <v>0.4</v>
      </c>
      <c r="I10" s="1">
        <f t="shared" si="1"/>
        <v>8.0986570000000011</v>
      </c>
      <c r="J10" s="1">
        <f t="shared" si="2"/>
        <v>8.0986570000000019E-21</v>
      </c>
    </row>
    <row r="11" spans="3:10" x14ac:dyDescent="0.3">
      <c r="C11">
        <v>450</v>
      </c>
      <c r="D11" t="s">
        <v>0</v>
      </c>
      <c r="E11" s="1">
        <v>7.5460000000000003</v>
      </c>
      <c r="F11" s="1">
        <v>6.0219999999999996E-3</v>
      </c>
      <c r="H11">
        <f t="shared" si="0"/>
        <v>0.45</v>
      </c>
      <c r="I11" s="1">
        <f t="shared" si="1"/>
        <v>7.552022</v>
      </c>
      <c r="J11" s="1">
        <f t="shared" si="2"/>
        <v>7.552022E-21</v>
      </c>
    </row>
    <row r="12" spans="3:10" x14ac:dyDescent="0.3">
      <c r="C12">
        <v>500</v>
      </c>
      <c r="D12" t="s">
        <v>0</v>
      </c>
      <c r="E12" s="1">
        <v>7.0819999999999999</v>
      </c>
      <c r="F12" s="1">
        <v>5.5040000000000002E-3</v>
      </c>
      <c r="H12">
        <f t="shared" si="0"/>
        <v>0.5</v>
      </c>
      <c r="I12" s="1">
        <f t="shared" si="1"/>
        <v>7.087504</v>
      </c>
      <c r="J12" s="1">
        <f t="shared" si="2"/>
        <v>7.0875039999999997E-21</v>
      </c>
    </row>
    <row r="13" spans="3:10" x14ac:dyDescent="0.3">
      <c r="C13">
        <v>550</v>
      </c>
      <c r="D13" t="s">
        <v>0</v>
      </c>
      <c r="E13" s="1">
        <v>6.6820000000000004</v>
      </c>
      <c r="F13" s="1">
        <v>5.0730000000000003E-3</v>
      </c>
      <c r="H13">
        <f t="shared" si="0"/>
        <v>0.55000000000000004</v>
      </c>
      <c r="I13" s="1">
        <f t="shared" si="1"/>
        <v>6.6870730000000007</v>
      </c>
      <c r="J13" s="1">
        <f t="shared" si="2"/>
        <v>6.6870730000000009E-21</v>
      </c>
    </row>
    <row r="14" spans="3:10" x14ac:dyDescent="0.3">
      <c r="C14">
        <v>600</v>
      </c>
      <c r="D14" t="s">
        <v>0</v>
      </c>
      <c r="E14" s="1">
        <v>6.3339999999999996</v>
      </c>
      <c r="F14" s="1">
        <v>4.7080000000000004E-3</v>
      </c>
      <c r="H14">
        <f t="shared" si="0"/>
        <v>0.6</v>
      </c>
      <c r="I14" s="1">
        <f t="shared" si="1"/>
        <v>6.3387079999999996</v>
      </c>
      <c r="J14" s="1">
        <f t="shared" si="2"/>
        <v>6.3387079999999996E-21</v>
      </c>
    </row>
    <row r="15" spans="3:10" x14ac:dyDescent="0.3">
      <c r="C15">
        <v>650</v>
      </c>
      <c r="D15" t="s">
        <v>0</v>
      </c>
      <c r="E15" s="1">
        <v>6.0279999999999996</v>
      </c>
      <c r="F15" s="1">
        <v>4.3949999999999996E-3</v>
      </c>
      <c r="H15">
        <f t="shared" si="0"/>
        <v>0.65</v>
      </c>
      <c r="I15" s="1">
        <f t="shared" si="1"/>
        <v>6.0323949999999993</v>
      </c>
      <c r="J15" s="1">
        <f t="shared" si="2"/>
        <v>6.0323949999999996E-21</v>
      </c>
    </row>
    <row r="16" spans="3:10" x14ac:dyDescent="0.3">
      <c r="C16">
        <v>700</v>
      </c>
      <c r="D16" t="s">
        <v>0</v>
      </c>
      <c r="E16" s="1">
        <v>5.7560000000000002</v>
      </c>
      <c r="F16" s="1">
        <v>4.1240000000000001E-3</v>
      </c>
      <c r="H16">
        <f t="shared" si="0"/>
        <v>0.7</v>
      </c>
      <c r="I16" s="1">
        <f t="shared" si="1"/>
        <v>5.7601240000000002</v>
      </c>
      <c r="J16" s="1">
        <f t="shared" si="2"/>
        <v>5.7601240000000002E-21</v>
      </c>
    </row>
    <row r="17" spans="3:10" x14ac:dyDescent="0.3">
      <c r="C17">
        <v>800</v>
      </c>
      <c r="D17" t="s">
        <v>0</v>
      </c>
      <c r="E17" s="1">
        <v>5.2930000000000001</v>
      </c>
      <c r="F17" s="1">
        <v>3.6749999999999999E-3</v>
      </c>
      <c r="H17">
        <f t="shared" si="0"/>
        <v>0.8</v>
      </c>
      <c r="I17" s="1">
        <f t="shared" si="1"/>
        <v>5.2966750000000005</v>
      </c>
      <c r="J17" s="1">
        <f t="shared" si="2"/>
        <v>5.2966750000000005E-21</v>
      </c>
    </row>
    <row r="18" spans="3:10" x14ac:dyDescent="0.3">
      <c r="C18">
        <v>900</v>
      </c>
      <c r="D18" t="s">
        <v>0</v>
      </c>
      <c r="E18" s="1">
        <v>4.9119999999999999</v>
      </c>
      <c r="F18" s="1">
        <v>3.3189999999999999E-3</v>
      </c>
      <c r="H18">
        <f t="shared" si="0"/>
        <v>0.9</v>
      </c>
      <c r="I18" s="1">
        <f t="shared" si="1"/>
        <v>4.9153190000000002</v>
      </c>
      <c r="J18" s="1">
        <f t="shared" si="2"/>
        <v>4.9153190000000008E-21</v>
      </c>
    </row>
    <row r="19" spans="3:10" x14ac:dyDescent="0.3">
      <c r="C19">
        <v>1</v>
      </c>
      <c r="D19" t="s">
        <v>1</v>
      </c>
      <c r="E19" s="1">
        <v>4.593</v>
      </c>
      <c r="F19" s="1">
        <v>3.029E-3</v>
      </c>
      <c r="H19">
        <f>C19</f>
        <v>1</v>
      </c>
      <c r="I19" s="1">
        <f t="shared" si="1"/>
        <v>4.5960289999999997</v>
      </c>
      <c r="J19" s="1">
        <f t="shared" si="2"/>
        <v>4.5960289999999999E-21</v>
      </c>
    </row>
    <row r="20" spans="3:10" x14ac:dyDescent="0.3">
      <c r="C20">
        <v>1.1000000000000001</v>
      </c>
      <c r="D20" t="s">
        <v>1</v>
      </c>
      <c r="E20" s="1">
        <v>4.3360000000000003</v>
      </c>
      <c r="F20" s="1">
        <v>2.7880000000000001E-3</v>
      </c>
      <c r="H20">
        <f t="shared" ref="H20:H32" si="3">C20</f>
        <v>1.1000000000000001</v>
      </c>
      <c r="I20" s="1">
        <f t="shared" si="1"/>
        <v>4.3387880000000001</v>
      </c>
      <c r="J20" s="1">
        <f t="shared" si="2"/>
        <v>4.3387880000000003E-21</v>
      </c>
    </row>
    <row r="21" spans="3:10" x14ac:dyDescent="0.3">
      <c r="C21">
        <v>1.2</v>
      </c>
      <c r="D21" t="s">
        <v>1</v>
      </c>
      <c r="E21" s="1">
        <v>4.0830000000000002</v>
      </c>
      <c r="F21" s="1">
        <v>2.5839999999999999E-3</v>
      </c>
      <c r="H21">
        <f t="shared" si="3"/>
        <v>1.2</v>
      </c>
      <c r="I21" s="1">
        <f t="shared" si="1"/>
        <v>4.0855839999999999</v>
      </c>
      <c r="J21" s="1">
        <f t="shared" si="2"/>
        <v>4.0855839999999994E-21</v>
      </c>
    </row>
    <row r="22" spans="3:10" x14ac:dyDescent="0.3">
      <c r="C22">
        <v>1.3</v>
      </c>
      <c r="D22" t="s">
        <v>1</v>
      </c>
      <c r="E22" s="1">
        <v>3.8580000000000001</v>
      </c>
      <c r="F22" s="1">
        <v>2.4099999999999998E-3</v>
      </c>
      <c r="H22">
        <f t="shared" si="3"/>
        <v>1.3</v>
      </c>
      <c r="I22" s="1">
        <f t="shared" si="1"/>
        <v>3.8604099999999999</v>
      </c>
      <c r="J22" s="1">
        <f t="shared" si="2"/>
        <v>3.8604099999999999E-21</v>
      </c>
    </row>
    <row r="23" spans="3:10" x14ac:dyDescent="0.3">
      <c r="C23">
        <v>1.4</v>
      </c>
      <c r="D23" t="s">
        <v>1</v>
      </c>
      <c r="E23" s="1">
        <v>3.66</v>
      </c>
      <c r="F23" s="1">
        <v>2.2590000000000002E-3</v>
      </c>
      <c r="H23">
        <f t="shared" si="3"/>
        <v>1.4</v>
      </c>
      <c r="I23" s="1">
        <f t="shared" si="1"/>
        <v>3.6622590000000002</v>
      </c>
      <c r="J23" s="1">
        <f t="shared" si="2"/>
        <v>3.6622589999999998E-21</v>
      </c>
    </row>
    <row r="24" spans="3:10" x14ac:dyDescent="0.3">
      <c r="C24">
        <v>1.5</v>
      </c>
      <c r="D24" t="s">
        <v>1</v>
      </c>
      <c r="E24" s="1">
        <v>3.4849999999999999</v>
      </c>
      <c r="F24" s="1">
        <v>2.127E-3</v>
      </c>
      <c r="H24">
        <f t="shared" si="3"/>
        <v>1.5</v>
      </c>
      <c r="I24" s="1">
        <f t="shared" si="1"/>
        <v>3.4871270000000001</v>
      </c>
      <c r="J24" s="1">
        <f t="shared" si="2"/>
        <v>3.4871269999999997E-21</v>
      </c>
    </row>
    <row r="25" spans="3:10" x14ac:dyDescent="0.3">
      <c r="C25">
        <v>1.6</v>
      </c>
      <c r="D25" t="s">
        <v>1</v>
      </c>
      <c r="E25" s="1">
        <v>3.3279999999999998</v>
      </c>
      <c r="F25" s="1">
        <v>2.0100000000000001E-3</v>
      </c>
      <c r="H25">
        <f t="shared" si="3"/>
        <v>1.6</v>
      </c>
      <c r="I25" s="1">
        <f t="shared" si="1"/>
        <v>3.3300099999999997</v>
      </c>
      <c r="J25" s="1">
        <f t="shared" si="2"/>
        <v>3.3300099999999998E-21</v>
      </c>
    </row>
    <row r="26" spans="3:10" x14ac:dyDescent="0.3">
      <c r="C26">
        <v>1.7</v>
      </c>
      <c r="D26" t="s">
        <v>1</v>
      </c>
      <c r="E26" s="1">
        <v>3.1859999999999999</v>
      </c>
      <c r="F26" s="1">
        <v>1.9059999999999999E-3</v>
      </c>
      <c r="H26">
        <f t="shared" si="3"/>
        <v>1.7</v>
      </c>
      <c r="I26" s="1">
        <f t="shared" si="1"/>
        <v>3.1879059999999999</v>
      </c>
      <c r="J26" s="1">
        <f t="shared" si="2"/>
        <v>3.187906E-21</v>
      </c>
    </row>
    <row r="27" spans="3:10" x14ac:dyDescent="0.3">
      <c r="C27">
        <v>1.8</v>
      </c>
      <c r="D27" t="s">
        <v>1</v>
      </c>
      <c r="E27" s="1">
        <v>3.0569999999999999</v>
      </c>
      <c r="F27" s="1">
        <v>1.8129999999999999E-3</v>
      </c>
      <c r="H27">
        <f t="shared" si="3"/>
        <v>1.8</v>
      </c>
      <c r="I27" s="1">
        <f t="shared" si="1"/>
        <v>3.0588129999999998</v>
      </c>
      <c r="J27" s="1">
        <f t="shared" si="2"/>
        <v>3.0588130000000001E-21</v>
      </c>
    </row>
    <row r="28" spans="3:10" x14ac:dyDescent="0.3">
      <c r="C28">
        <v>2</v>
      </c>
      <c r="D28" t="s">
        <v>1</v>
      </c>
      <c r="E28" s="1">
        <v>2.8319999999999999</v>
      </c>
      <c r="F28" s="1">
        <v>1.652E-3</v>
      </c>
      <c r="H28">
        <f t="shared" si="3"/>
        <v>2</v>
      </c>
      <c r="I28" s="1">
        <f t="shared" si="1"/>
        <v>2.8336519999999998</v>
      </c>
      <c r="J28" s="1">
        <f t="shared" si="2"/>
        <v>2.8336519999999997E-21</v>
      </c>
    </row>
    <row r="29" spans="3:10" x14ac:dyDescent="0.3">
      <c r="C29">
        <v>2.25</v>
      </c>
      <c r="D29" t="s">
        <v>1</v>
      </c>
      <c r="E29" s="1">
        <v>2.5979999999999999</v>
      </c>
      <c r="F29" s="1">
        <v>1.49E-3</v>
      </c>
      <c r="H29">
        <f t="shared" si="3"/>
        <v>2.25</v>
      </c>
      <c r="I29" s="1">
        <f t="shared" si="1"/>
        <v>2.5994899999999999</v>
      </c>
      <c r="J29" s="1">
        <f t="shared" si="2"/>
        <v>2.59949E-21</v>
      </c>
    </row>
    <row r="30" spans="3:10" x14ac:dyDescent="0.3">
      <c r="C30">
        <v>2.5</v>
      </c>
      <c r="D30" t="s">
        <v>1</v>
      </c>
      <c r="E30" s="1">
        <v>2.403</v>
      </c>
      <c r="F30" s="1">
        <v>1.3569999999999999E-3</v>
      </c>
      <c r="H30">
        <f t="shared" si="3"/>
        <v>2.5</v>
      </c>
      <c r="I30" s="1">
        <f t="shared" si="1"/>
        <v>2.4043570000000001</v>
      </c>
      <c r="J30" s="1">
        <f t="shared" si="2"/>
        <v>2.404357E-21</v>
      </c>
    </row>
    <row r="31" spans="3:10" x14ac:dyDescent="0.3">
      <c r="C31">
        <v>2.75</v>
      </c>
      <c r="D31" t="s">
        <v>1</v>
      </c>
      <c r="E31" s="1">
        <v>2.2389999999999999</v>
      </c>
      <c r="F31" s="1">
        <v>1.248E-3</v>
      </c>
      <c r="H31">
        <f t="shared" si="3"/>
        <v>2.75</v>
      </c>
      <c r="I31" s="1">
        <f t="shared" si="1"/>
        <v>2.2402479999999998</v>
      </c>
      <c r="J31" s="1">
        <f t="shared" si="2"/>
        <v>2.2402479999999995E-21</v>
      </c>
    </row>
    <row r="32" spans="3:10" x14ac:dyDescent="0.3">
      <c r="C32">
        <v>3</v>
      </c>
      <c r="D32" t="s">
        <v>1</v>
      </c>
      <c r="E32" s="1">
        <v>2.097</v>
      </c>
      <c r="F32" s="1">
        <v>1.155E-3</v>
      </c>
      <c r="H32">
        <f t="shared" si="3"/>
        <v>3</v>
      </c>
      <c r="I32" s="1">
        <f t="shared" si="1"/>
        <v>2.0981549999999998</v>
      </c>
      <c r="J32" s="1">
        <f t="shared" si="2"/>
        <v>2.0981549999999999E-21</v>
      </c>
    </row>
    <row r="36" spans="8:8" x14ac:dyDescent="0.3">
      <c r="H36">
        <f>6.02E+23/12/1000000*10</f>
        <v>5.0166666666666675E+17</v>
      </c>
    </row>
    <row r="37" spans="8:8" x14ac:dyDescent="0.3">
      <c r="H37" s="1">
        <v>7E+17</v>
      </c>
    </row>
    <row r="40" spans="8:8" x14ac:dyDescent="0.3">
      <c r="H40" s="1">
        <f>1E-24*H37</f>
        <v>6.9999999999999997E-7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2020-02-13T19:15:49Z</dcterms:modified>
</cp:coreProperties>
</file>